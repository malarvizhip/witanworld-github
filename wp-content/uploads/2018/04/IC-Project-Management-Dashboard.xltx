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ankiewicz\Desktop\.Integrated Content\English\WIP - Templates\"/>
    </mc:Choice>
  </mc:AlternateContent>
  <bookViews>
    <workbookView xWindow="0" yWindow="0" windowWidth="23040" windowHeight="9972" tabRatio="500"/>
  </bookViews>
  <sheets>
    <sheet name="Project Management Dashboard" sheetId="1" r:id="rId1"/>
    <sheet name="Project Data" sheetId="2" r:id="rId2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2" l="1"/>
  <c r="K6" i="2"/>
  <c r="K5" i="2"/>
  <c r="K4" i="2"/>
  <c r="K1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4" i="2"/>
  <c r="C37" i="2"/>
  <c r="D37" i="2"/>
  <c r="E37" i="2"/>
  <c r="F37" i="2"/>
  <c r="G37" i="2"/>
  <c r="H37" i="2"/>
</calcChain>
</file>

<file path=xl/sharedStrings.xml><?xml version="1.0" encoding="utf-8"?>
<sst xmlns="http://schemas.openxmlformats.org/spreadsheetml/2006/main" count="129" uniqueCount="58">
  <si>
    <t>RISKS</t>
  </si>
  <si>
    <t>HIGH</t>
  </si>
  <si>
    <t>MEDIUM</t>
  </si>
  <si>
    <t>LOW</t>
  </si>
  <si>
    <t>OPEN</t>
  </si>
  <si>
    <t>ISSUES</t>
  </si>
  <si>
    <t>REVISIONS</t>
  </si>
  <si>
    <t>PENDING ACTIONS</t>
  </si>
  <si>
    <t>BEGIN</t>
  </si>
  <si>
    <t>FINISH</t>
  </si>
  <si>
    <t># of DAYS</t>
  </si>
  <si>
    <t>BUDGET</t>
  </si>
  <si>
    <t>PROJECTED</t>
  </si>
  <si>
    <t>ACTUAL</t>
  </si>
  <si>
    <t>REMAINDER</t>
  </si>
  <si>
    <t>PROJECT FINANCIALS</t>
  </si>
  <si>
    <t>RISK ANALYSIS</t>
  </si>
  <si>
    <t>PROJECT REPORT</t>
  </si>
  <si>
    <t>SCHEDULE</t>
  </si>
  <si>
    <t>RESOURCES</t>
  </si>
  <si>
    <t>COMMENTS</t>
  </si>
  <si>
    <t>PROJECT MANAGEMENT DASHBOARD</t>
  </si>
  <si>
    <t>TASK</t>
  </si>
  <si>
    <t>Set Objectives</t>
  </si>
  <si>
    <t>Project Requirements</t>
  </si>
  <si>
    <t>Hardware Requirements</t>
  </si>
  <si>
    <t>Finalize Resource Plan</t>
  </si>
  <si>
    <t>Staffing</t>
  </si>
  <si>
    <t>Alpha Out</t>
  </si>
  <si>
    <t>Beta Out</t>
  </si>
  <si>
    <t>Alpha Testing</t>
  </si>
  <si>
    <t>Beta Testing</t>
  </si>
  <si>
    <t>Investor Presentation</t>
  </si>
  <si>
    <t>Launch</t>
  </si>
  <si>
    <t>Future Planning</t>
  </si>
  <si>
    <t>Anna</t>
  </si>
  <si>
    <t>Ken</t>
  </si>
  <si>
    <t>Sara</t>
  </si>
  <si>
    <t>James</t>
  </si>
  <si>
    <t>Pete</t>
  </si>
  <si>
    <t>Jason</t>
  </si>
  <si>
    <t>STATUS</t>
  </si>
  <si>
    <t>COMPLETE</t>
  </si>
  <si>
    <t>OVERDUE</t>
  </si>
  <si>
    <t>IN PROGRESS</t>
  </si>
  <si>
    <t>NOT STARTED</t>
  </si>
  <si>
    <t>TASK STATUS TRACKING</t>
  </si>
  <si>
    <t>AMOUNT</t>
  </si>
  <si>
    <t>%</t>
  </si>
  <si>
    <t>PROJECT MANAGEMENT DATA</t>
  </si>
  <si>
    <t>Construction</t>
  </si>
  <si>
    <t>TASK TIMELINE</t>
  </si>
  <si>
    <t>OWNER</t>
  </si>
  <si>
    <t>OPEN and PENDING ACTIONS</t>
  </si>
  <si>
    <t>Kickoff</t>
  </si>
  <si>
    <t>TASK TABLE and TIMELINE</t>
  </si>
  <si>
    <t>RISKS and PENDING ACTIONS</t>
  </si>
  <si>
    <t>CLICK HERE TO CONTACT SMARTSHEET AND LEARN MORE ABOUT SIGHTS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</si>
</sst>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&quot;$&quot;* #,##0.00_-;\-&quot;$&quot;* #,##0.00_-;_-&quot;$&quot;* &quot;-&quot;??_-;_-@_-"/>
    <numFmt numFmtId="165" formatCode="&quot;$&quot;#,##0"/>
    <numFmt numFmtId="166" formatCode="[$-409]d\-mmm;@"/>
  </numFmts>
  <fonts count="16" x14ac:knownFonts="1">
    <font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sz val="12"/>
      <color theme="1"/>
      <name val="Arial"/>
    </font>
    <font>
      <b/>
      <sz val="10"/>
      <color theme="0"/>
      <name val="Arial"/>
    </font>
    <font>
      <sz val="10"/>
      <color theme="1"/>
      <name val="Arial"/>
    </font>
    <font>
      <b/>
      <sz val="11"/>
      <color rgb="FFC00000"/>
      <name val="Arial"/>
    </font>
    <font>
      <b/>
      <sz val="11"/>
      <color rgb="FFED7C00"/>
      <name val="Arial"/>
    </font>
    <font>
      <b/>
      <sz val="11"/>
      <color theme="7" tint="-0.249977111117893"/>
      <name val="Arial"/>
    </font>
    <font>
      <sz val="9"/>
      <color theme="0"/>
      <name val="Arial"/>
    </font>
    <font>
      <sz val="10"/>
      <color theme="1"/>
      <name val="Trebuchet MS"/>
      <family val="2"/>
      <scheme val="minor"/>
    </font>
    <font>
      <b/>
      <sz val="10"/>
      <color theme="1"/>
      <name val="Arial"/>
    </font>
    <font>
      <b/>
      <sz val="22"/>
      <color theme="0" tint="-0.499984740745262"/>
      <name val="Arial"/>
    </font>
    <font>
      <b/>
      <sz val="22"/>
      <color theme="0" tint="-0.34998626667073579"/>
      <name val="Arial"/>
    </font>
    <font>
      <u/>
      <sz val="12"/>
      <color theme="10"/>
      <name val="Trebuchet MS"/>
      <family val="2"/>
      <scheme val="minor"/>
    </font>
    <font>
      <b/>
      <sz val="14"/>
      <color theme="0"/>
      <name val="Trebuchet MS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D7C00"/>
        <bgColor indexed="64"/>
      </patternFill>
    </fill>
    <fill>
      <patternFill patternType="solid">
        <fgColor rgb="FFF1B93C"/>
        <bgColor indexed="64"/>
      </patternFill>
    </fill>
    <fill>
      <patternFill patternType="solid">
        <fgColor rgb="FFFFDCE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EEFC7"/>
        <bgColor indexed="64"/>
      </patternFill>
    </fill>
    <fill>
      <patternFill patternType="solid">
        <fgColor rgb="FF03C25B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7">
    <xf numFmtId="0" fontId="0" fillId="0" borderId="0" xfId="0"/>
    <xf numFmtId="0" fontId="3" fillId="0" borderId="0" xfId="0" applyFont="1"/>
    <xf numFmtId="1" fontId="6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4" fillId="0" borderId="0" xfId="0" applyFont="1" applyFill="1" applyBorder="1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4" fillId="1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indent="1"/>
    </xf>
    <xf numFmtId="16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9" fontId="5" fillId="0" borderId="1" xfId="2" applyFont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165" fontId="5" fillId="0" borderId="1" xfId="1" applyNumberFormat="1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1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indent="1"/>
    </xf>
    <xf numFmtId="0" fontId="10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left" vertical="center" indent="1"/>
    </xf>
    <xf numFmtId="0" fontId="10" fillId="15" borderId="1" xfId="0" applyFont="1" applyFill="1" applyBorder="1" applyAlignment="1">
      <alignment vertical="center"/>
    </xf>
    <xf numFmtId="0" fontId="5" fillId="15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 vertical="center" wrapText="1"/>
    </xf>
    <xf numFmtId="166" fontId="5" fillId="15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1" fontId="5" fillId="16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 vertical="center" indent="1"/>
    </xf>
    <xf numFmtId="0" fontId="11" fillId="15" borderId="1" xfId="0" applyFont="1" applyFill="1" applyBorder="1" applyAlignment="1">
      <alignment horizontal="left" vertical="center" indent="1"/>
    </xf>
    <xf numFmtId="0" fontId="4" fillId="14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4" fillId="14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13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left" vertical="center"/>
    </xf>
    <xf numFmtId="0" fontId="4" fillId="1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15" fillId="17" borderId="0" xfId="3" applyFont="1" applyFill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7"/>
  <colors>
    <mruColors>
      <color rgb="FF03C25B"/>
      <color rgb="FFFEEFC7"/>
      <color rgb="FFED7C00"/>
      <color rgb="FF941100"/>
      <color rgb="FF6A3AFF"/>
      <color rgb="FFEE57AD"/>
      <color rgb="FFFFC11D"/>
      <color rgb="FF732EE0"/>
      <color rgb="FFF1B93C"/>
      <color rgb="FFFFD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Data'!$D$3</c:f>
              <c:strCache>
                <c:ptCount val="1"/>
                <c:pt idx="0">
                  <c:v>BEGIN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Data'!$D$4:$D$17</c:f>
              <c:numCache>
                <c:formatCode>[$-409]d\-mmm;@</c:formatCode>
                <c:ptCount val="14"/>
                <c:pt idx="0">
                  <c:v>43225</c:v>
                </c:pt>
                <c:pt idx="1">
                  <c:v>43227</c:v>
                </c:pt>
                <c:pt idx="2">
                  <c:v>43233</c:v>
                </c:pt>
                <c:pt idx="3">
                  <c:v>43237</c:v>
                </c:pt>
                <c:pt idx="4">
                  <c:v>43243</c:v>
                </c:pt>
                <c:pt idx="5">
                  <c:v>43255</c:v>
                </c:pt>
                <c:pt idx="6">
                  <c:v>43252</c:v>
                </c:pt>
                <c:pt idx="7">
                  <c:v>43257</c:v>
                </c:pt>
                <c:pt idx="8">
                  <c:v>43279</c:v>
                </c:pt>
                <c:pt idx="9">
                  <c:v>43280</c:v>
                </c:pt>
                <c:pt idx="10">
                  <c:v>43297</c:v>
                </c:pt>
                <c:pt idx="11">
                  <c:v>43298</c:v>
                </c:pt>
                <c:pt idx="12">
                  <c:v>43313</c:v>
                </c:pt>
                <c:pt idx="13">
                  <c:v>43314</c:v>
                </c:pt>
              </c:numCache>
            </c:numRef>
          </c:val>
        </c:ser>
        <c:ser>
          <c:idx val="1"/>
          <c:order val="1"/>
          <c:tx>
            <c:v>Duration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</c:dPt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Data'!$F$4:$F$17</c:f>
              <c:numCache>
                <c:formatCode>General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21</c:v>
                </c:pt>
                <c:pt idx="8">
                  <c:v>1</c:v>
                </c:pt>
                <c:pt idx="9">
                  <c:v>16</c:v>
                </c:pt>
                <c:pt idx="10">
                  <c:v>1</c:v>
                </c:pt>
                <c:pt idx="11">
                  <c:v>13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264702416"/>
        <c:axId val="264702976"/>
      </c:barChart>
      <c:catAx>
        <c:axId val="2647024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264702976"/>
        <c:crosses val="autoZero"/>
        <c:auto val="1"/>
        <c:lblAlgn val="ctr"/>
        <c:lblOffset val="100"/>
        <c:noMultiLvlLbl val="0"/>
      </c:catAx>
      <c:valAx>
        <c:axId val="2647029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$-409]d\-m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264702416"/>
        <c:crosses val="autoZero"/>
        <c:crossBetween val="between"/>
        <c:majorUnit val="7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  <a:tileRect l="-100000" t="-100000"/>
    </a:gradFill>
    <a:ln w="9525" cap="flat" cmpd="sng" algn="ctr">
      <a:noFill/>
      <a:round/>
    </a:ln>
    <a:effectLst/>
  </c:spPr>
  <c:txPr>
    <a:bodyPr/>
    <a:lstStyle/>
    <a:p>
      <a:pPr>
        <a:defRPr b="0" i="0"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100" b="1">
                <a:solidFill>
                  <a:schemeClr val="tx1"/>
                </a:solidFill>
              </a:rPr>
              <a:t>DAYS PER</a:t>
            </a:r>
            <a:r>
              <a:rPr lang="en-US" sz="1100" b="1" baseline="0">
                <a:solidFill>
                  <a:schemeClr val="tx1"/>
                </a:solidFill>
              </a:rPr>
              <a:t> </a:t>
            </a:r>
            <a:r>
              <a:rPr lang="en-US" sz="1100" b="1">
                <a:solidFill>
                  <a:schemeClr val="tx1"/>
                </a:solidFill>
              </a:rPr>
              <a:t>PROJECT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Data'!$F$3</c:f>
              <c:strCache>
                <c:ptCount val="1"/>
                <c:pt idx="0">
                  <c:v># of DAYS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Data'!$F$4:$F$17</c:f>
              <c:numCache>
                <c:formatCode>General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21</c:v>
                </c:pt>
                <c:pt idx="8">
                  <c:v>1</c:v>
                </c:pt>
                <c:pt idx="9">
                  <c:v>16</c:v>
                </c:pt>
                <c:pt idx="10">
                  <c:v>1</c:v>
                </c:pt>
                <c:pt idx="11">
                  <c:v>13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4668240"/>
        <c:axId val="264668800"/>
      </c:barChart>
      <c:catAx>
        <c:axId val="264668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264668800"/>
        <c:crosses val="autoZero"/>
        <c:auto val="1"/>
        <c:lblAlgn val="ctr"/>
        <c:lblOffset val="100"/>
        <c:noMultiLvlLbl val="0"/>
      </c:catAx>
      <c:valAx>
        <c:axId val="2646688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26466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'Project Data'!$C$22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Data'!$C$23:$C$36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</c:ser>
        <c:ser>
          <c:idx val="1"/>
          <c:order val="1"/>
          <c:tx>
            <c:strRef>
              <c:f>'Project Data'!$D$22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Data'!$D$23:$D$36</c:f>
              <c:numCache>
                <c:formatCode>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6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Data'!$E$22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Data'!$E$23:$E$36</c:f>
              <c:numCache>
                <c:formatCode>0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7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7324416"/>
        <c:axId val="397324976"/>
      </c:barChart>
      <c:catAx>
        <c:axId val="39732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397324976"/>
        <c:crosses val="autoZero"/>
        <c:auto val="1"/>
        <c:lblAlgn val="ctr"/>
        <c:lblOffset val="100"/>
        <c:noMultiLvlLbl val="0"/>
      </c:catAx>
      <c:valAx>
        <c:axId val="39732497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39732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pt-BR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200" b="1">
                <a:solidFill>
                  <a:schemeClr val="tx1"/>
                </a:solidFill>
              </a:rPr>
              <a:t>RISK</a:t>
            </a:r>
            <a:r>
              <a:rPr lang="en-US" sz="1200" b="1" baseline="0">
                <a:solidFill>
                  <a:schemeClr val="tx1"/>
                </a:solidFill>
              </a:rPr>
              <a:t> TOTAL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'Project Data'!$C$22:$E$22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'Project Data'!$C$37:$E$37</c:f>
              <c:numCache>
                <c:formatCode>0</c:formatCode>
                <c:ptCount val="3"/>
                <c:pt idx="0">
                  <c:v>52</c:v>
                </c:pt>
                <c:pt idx="1">
                  <c:v>44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04092640"/>
        <c:axId val="404093200"/>
      </c:barChart>
      <c:catAx>
        <c:axId val="404092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093200"/>
        <c:crosses val="autoZero"/>
        <c:auto val="1"/>
        <c:lblAlgn val="ctr"/>
        <c:lblOffset val="100"/>
        <c:noMultiLvlLbl val="0"/>
      </c:catAx>
      <c:valAx>
        <c:axId val="40409320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092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OPEN ISSUES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Data'!$F$23:$F$36</c:f>
              <c:numCache>
                <c:formatCode>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</c:ser>
        <c:ser>
          <c:idx val="1"/>
          <c:order val="1"/>
          <c:tx>
            <c:v>REVISIONS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Data'!$G$23:$G$36</c:f>
              <c:numCache>
                <c:formatCode>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v>PENDING ACTIONS</c:v>
          </c:tx>
          <c:spPr>
            <a:solidFill>
              <a:srgbClr val="FFC11D"/>
            </a:solidFill>
            <a:ln>
              <a:noFill/>
            </a:ln>
            <a:effectLst/>
          </c:spPr>
          <c:invertIfNegative val="0"/>
          <c:cat>
            <c:strRef>
              <c:f>'Project Data'!$B$4:$B$17</c:f>
              <c:strCache>
                <c:ptCount val="14"/>
                <c:pt idx="0">
                  <c:v>Kickoff</c:v>
                </c:pt>
                <c:pt idx="1">
                  <c:v>Set Objectives</c:v>
                </c:pt>
                <c:pt idx="2">
                  <c:v>Project Requirements</c:v>
                </c:pt>
                <c:pt idx="3">
                  <c:v>Hardware Requirements</c:v>
                </c:pt>
                <c:pt idx="4">
                  <c:v>Finalize Resource Plan</c:v>
                </c:pt>
                <c:pt idx="5">
                  <c:v>Investor Presentation</c:v>
                </c:pt>
                <c:pt idx="6">
                  <c:v>Staffing</c:v>
                </c:pt>
                <c:pt idx="7">
                  <c:v>Construction</c:v>
                </c:pt>
                <c:pt idx="8">
                  <c:v>Alpha Out</c:v>
                </c:pt>
                <c:pt idx="9">
                  <c:v>Alpha Testing</c:v>
                </c:pt>
                <c:pt idx="10">
                  <c:v>Beta Out</c:v>
                </c:pt>
                <c:pt idx="11">
                  <c:v>Beta Testing</c:v>
                </c:pt>
                <c:pt idx="12">
                  <c:v>Launch</c:v>
                </c:pt>
                <c:pt idx="13">
                  <c:v>Future Planning</c:v>
                </c:pt>
              </c:strCache>
            </c:strRef>
          </c:cat>
          <c:val>
            <c:numRef>
              <c:f>'Project Data'!$H$23:$H$36</c:f>
              <c:numCache>
                <c:formatCode>0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04096560"/>
        <c:axId val="404097120"/>
      </c:barChart>
      <c:catAx>
        <c:axId val="40409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097120"/>
        <c:crosses val="autoZero"/>
        <c:auto val="1"/>
        <c:lblAlgn val="ctr"/>
        <c:lblOffset val="100"/>
        <c:noMultiLvlLbl val="0"/>
      </c:catAx>
      <c:valAx>
        <c:axId val="40409712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09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pt-BR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200" b="1">
                <a:solidFill>
                  <a:schemeClr val="tx1"/>
                </a:solidFill>
              </a:rPr>
              <a:t>ACTION</a:t>
            </a:r>
            <a:r>
              <a:rPr lang="en-US" sz="1200" b="1" baseline="0">
                <a:solidFill>
                  <a:schemeClr val="tx1"/>
                </a:solidFill>
              </a:rPr>
              <a:t> TOTAL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180188630694201"/>
          <c:y val="0.222382584529875"/>
          <c:w val="0.84044351906067205"/>
          <c:h val="0.6436470588235290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ED7C00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'Project Data'!$F$21:$H$22</c:f>
              <c:multiLvlStrCache>
                <c:ptCount val="3"/>
                <c:lvl>
                  <c:pt idx="0">
                    <c:v>ISSUES</c:v>
                  </c:pt>
                  <c:pt idx="1">
                    <c:v>REVISIONS</c:v>
                  </c:pt>
                </c:lvl>
                <c:lvl>
                  <c:pt idx="0">
                    <c:v>OPEN</c:v>
                  </c:pt>
                  <c:pt idx="2">
                    <c:v>PENDING ACTIONS</c:v>
                  </c:pt>
                </c:lvl>
              </c:multiLvlStrCache>
            </c:multiLvlStrRef>
          </c:cat>
          <c:val>
            <c:numRef>
              <c:f>'Project Data'!$F$37:$H$37</c:f>
              <c:numCache>
                <c:formatCode>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04403392"/>
        <c:axId val="404403952"/>
      </c:barChart>
      <c:catAx>
        <c:axId val="404403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4403952"/>
        <c:crosses val="autoZero"/>
        <c:auto val="1"/>
        <c:lblAlgn val="ctr"/>
        <c:lblOffset val="100"/>
        <c:noMultiLvlLbl val="0"/>
      </c:catAx>
      <c:valAx>
        <c:axId val="404403952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403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 rot="0" vert="horz"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'Project Data'!$J$3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'Project Data'!$I$4:$I$7</c:f>
              <c:strCache>
                <c:ptCount val="4"/>
                <c:pt idx="0">
                  <c:v>COMPLETE</c:v>
                </c:pt>
                <c:pt idx="1">
                  <c:v>OVERDUE</c:v>
                </c:pt>
                <c:pt idx="2">
                  <c:v>IN PROGRESS</c:v>
                </c:pt>
                <c:pt idx="3">
                  <c:v>NOT STARTED</c:v>
                </c:pt>
              </c:strCache>
            </c:strRef>
          </c:cat>
          <c:val>
            <c:numRef>
              <c:f>'Project Data'!$J$4:$J$7</c:f>
              <c:numCache>
                <c:formatCode>0</c:formatCode>
                <c:ptCount val="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ser>
          <c:idx val="1"/>
          <c:order val="1"/>
          <c:tx>
            <c:strRef>
              <c:f>'Project Data'!$K$3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'Project Data'!$I$4:$I$7</c:f>
              <c:strCache>
                <c:ptCount val="4"/>
                <c:pt idx="0">
                  <c:v>COMPLETE</c:v>
                </c:pt>
                <c:pt idx="1">
                  <c:v>OVERDUE</c:v>
                </c:pt>
                <c:pt idx="2">
                  <c:v>IN PROGRESS</c:v>
                </c:pt>
                <c:pt idx="3">
                  <c:v>NOT STARTED</c:v>
                </c:pt>
              </c:strCache>
            </c:strRef>
          </c:cat>
          <c:val>
            <c:numRef>
              <c:f>'Project Data'!$K$4:$K$7</c:f>
              <c:numCache>
                <c:formatCode>0%</c:formatCode>
                <c:ptCount val="4"/>
                <c:pt idx="0">
                  <c:v>0.2857142857142857</c:v>
                </c:pt>
                <c:pt idx="1">
                  <c:v>0.14285714285714285</c:v>
                </c:pt>
                <c:pt idx="2">
                  <c:v>0.14285714285714285</c:v>
                </c:pt>
                <c:pt idx="3">
                  <c:v>0.42857142857142855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chemeClr val="accent2">
                <a:alpha val="70000"/>
              </a:schemeClr>
            </a:solidFill>
            <a:ln w="9525">
              <a:solidFill>
                <a:schemeClr val="accent2">
                  <a:lumMod val="75000"/>
                </a:schemeClr>
              </a:solidFill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dLbls>
            <c:dLbl>
              <c:idx val="0"/>
              <c:layout>
                <c:manualLayout>
                  <c:x val="-9.8911968348170103E-3"/>
                  <c:y val="-0.1266149870801029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5608308605341199E-2"/>
                  <c:y val="5.167958656330749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'Project Data'!$I$12:$J$12</c:f>
              <c:strCache>
                <c:ptCount val="2"/>
                <c:pt idx="0">
                  <c:v>PROJECTED</c:v>
                </c:pt>
                <c:pt idx="1">
                  <c:v>ACTUAL</c:v>
                </c:pt>
              </c:strCache>
            </c:strRef>
          </c:cat>
          <c:val>
            <c:numRef>
              <c:f>'Project Data'!$I$13:$J$13</c:f>
              <c:numCache>
                <c:formatCode>"$"#,##0</c:formatCode>
                <c:ptCount val="2"/>
                <c:pt idx="0">
                  <c:v>1000000</c:v>
                </c:pt>
                <c:pt idx="1">
                  <c:v>880000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100"/>
        <c:axId val="404408992"/>
        <c:axId val="404409552"/>
        <c:axId val="0"/>
      </c:area3DChart>
      <c:catAx>
        <c:axId val="4044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>
            <a:solidFill>
              <a:schemeClr val="tx1">
                <a:lumMod val="5000"/>
                <a:lumOff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409552"/>
        <c:crosses val="autoZero"/>
        <c:auto val="1"/>
        <c:lblAlgn val="ctr"/>
        <c:lblOffset val="100"/>
        <c:noMultiLvlLbl val="0"/>
      </c:catAx>
      <c:valAx>
        <c:axId val="40440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 w="9525">
            <a:solidFill>
              <a:schemeClr val="tx1">
                <a:lumMod val="5000"/>
                <a:lumOff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pt-BR"/>
          </a:p>
        </c:txPr>
        <c:crossAx val="40440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hyperlink" Target="https://www.smartsheet.com/contact-us-sights?fts=32-free-excel-spreadsheet-template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127000</xdr:rowOff>
    </xdr:from>
    <xdr:to>
      <xdr:col>14</xdr:col>
      <xdr:colOff>977900</xdr:colOff>
      <xdr:row>25</xdr:row>
      <xdr:rowOff>177800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26</xdr:row>
      <xdr:rowOff>38100</xdr:rowOff>
    </xdr:from>
    <xdr:to>
      <xdr:col>8</xdr:col>
      <xdr:colOff>38100</xdr:colOff>
      <xdr:row>44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73</xdr:row>
      <xdr:rowOff>76200</xdr:rowOff>
    </xdr:from>
    <xdr:to>
      <xdr:col>15</xdr:col>
      <xdr:colOff>0</xdr:colOff>
      <xdr:row>99</xdr:row>
      <xdr:rowOff>177800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100</xdr:row>
      <xdr:rowOff>63500</xdr:rowOff>
    </xdr:from>
    <xdr:to>
      <xdr:col>14</xdr:col>
      <xdr:colOff>990600</xdr:colOff>
      <xdr:row>110</xdr:row>
      <xdr:rowOff>190500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113</xdr:row>
      <xdr:rowOff>76200</xdr:rowOff>
    </xdr:from>
    <xdr:to>
      <xdr:col>14</xdr:col>
      <xdr:colOff>939800</xdr:colOff>
      <xdr:row>139</xdr:row>
      <xdr:rowOff>177800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140</xdr:row>
      <xdr:rowOff>63500</xdr:rowOff>
    </xdr:from>
    <xdr:to>
      <xdr:col>14</xdr:col>
      <xdr:colOff>965200</xdr:colOff>
      <xdr:row>150</xdr:row>
      <xdr:rowOff>190500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444500</xdr:colOff>
      <xdr:row>26</xdr:row>
      <xdr:rowOff>38100</xdr:rowOff>
    </xdr:from>
    <xdr:to>
      <xdr:col>14</xdr:col>
      <xdr:colOff>965200</xdr:colOff>
      <xdr:row>44</xdr:row>
      <xdr:rowOff>38100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47</xdr:row>
      <xdr:rowOff>38100</xdr:rowOff>
    </xdr:from>
    <xdr:to>
      <xdr:col>15</xdr:col>
      <xdr:colOff>12700</xdr:colOff>
      <xdr:row>71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88900</xdr:colOff>
      <xdr:row>0</xdr:row>
      <xdr:rowOff>50800</xdr:rowOff>
    </xdr:from>
    <xdr:to>
      <xdr:col>14</xdr:col>
      <xdr:colOff>962436</xdr:colOff>
      <xdr:row>0</xdr:row>
      <xdr:rowOff>494674</xdr:rowOff>
    </xdr:to>
    <xdr:pic>
      <xdr:nvPicPr>
        <xdr:cNvPr id="15" name="Picture 14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57100" y="50800"/>
          <a:ext cx="1876836" cy="443874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0.00617</cdr:x>
      <cdr:y>0.25294</cdr:y>
    </cdr:from>
    <cdr:to>
      <cdr:x>0.13719</cdr:x>
      <cdr:y>0.85294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0800" y="546100"/>
          <a:ext cx="1079500" cy="1295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0.01696</cdr:x>
      <cdr:y>0.24706</cdr:y>
    </cdr:from>
    <cdr:to>
      <cdr:x>0.12149</cdr:x>
      <cdr:y>0.89412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37576" y="533400"/>
          <a:ext cx="1464223" cy="1397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900">
              <a:latin typeface="Arial" charset="0"/>
              <a:ea typeface="Arial" charset="0"/>
              <a:cs typeface="Arial" charset="0"/>
            </a:rPr>
            <a:t>PENDING</a:t>
          </a:r>
          <a:r>
            <a:rPr lang="en-US" sz="900" baseline="0">
              <a:latin typeface="Arial" charset="0"/>
              <a:ea typeface="Arial" charset="0"/>
              <a:cs typeface="Arial" charset="0"/>
            </a:rPr>
            <a:t> ACTIONS</a:t>
          </a: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r>
            <a:rPr lang="en-US" sz="900" baseline="0">
              <a:latin typeface="Arial" charset="0"/>
              <a:ea typeface="Arial" charset="0"/>
              <a:cs typeface="Arial" charset="0"/>
            </a:rPr>
            <a:t>REVISIONS</a:t>
          </a: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r>
            <a:rPr lang="en-US" sz="900" baseline="0">
              <a:latin typeface="Arial" charset="0"/>
              <a:ea typeface="Arial" charset="0"/>
              <a:cs typeface="Arial" charset="0"/>
            </a:rPr>
            <a:t>OPEN ISSUES</a:t>
          </a:r>
          <a:endParaRPr lang="en-US" sz="900">
            <a:latin typeface="Arial" charset="0"/>
            <a:ea typeface="Arial" charset="0"/>
            <a:cs typeface="Arial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0.03041</cdr:y>
    </cdr:from>
    <cdr:to>
      <cdr:x>0.25058</cdr:x>
      <cdr:y>0.09462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14300"/>
          <a:ext cx="1371600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TASK STATUS</a:t>
          </a:r>
        </a:p>
      </cdr:txBody>
    </cdr:sp>
  </cdr:relSizeAnchor>
</c:userShapes>
</file>

<file path=xl/theme/theme1.xml><?xml version="1.0" encoding="utf-8"?>
<a:theme xmlns:a="http://schemas.openxmlformats.org/drawingml/2006/main" name="Facet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martsheet.com/contact-us-sights?fts=32-free-excel-spreadsheet-templ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/>
  </sheetPr>
  <dimension ref="B1:O172"/>
  <sheetViews>
    <sheetView showGridLines="0" tabSelected="1" workbookViewId="0">
      <pane ySplit="1" topLeftCell="A139" activePane="bottomLeft" state="frozen"/>
      <selection pane="bottomLeft" activeCell="E172" sqref="E172:L172"/>
    </sheetView>
  </sheetViews>
  <sheetFormatPr defaultColWidth="10.796875" defaultRowHeight="16.2" x14ac:dyDescent="0.35"/>
  <cols>
    <col min="1" max="1" width="3" customWidth="1"/>
    <col min="2" max="15" width="13.19921875" customWidth="1"/>
    <col min="16" max="16" width="3" customWidth="1"/>
  </cols>
  <sheetData>
    <row r="1" spans="2:15" ht="42" customHeight="1" x14ac:dyDescent="0.35">
      <c r="B1" s="44" t="s">
        <v>21</v>
      </c>
      <c r="C1" s="44"/>
      <c r="D1" s="44"/>
      <c r="E1" s="44"/>
      <c r="F1" s="44"/>
      <c r="G1" s="44"/>
      <c r="H1" s="44"/>
      <c r="I1" s="44"/>
      <c r="J1" s="44"/>
      <c r="K1" s="1"/>
      <c r="L1" s="1"/>
    </row>
    <row r="2" spans="2:15" ht="24" customHeight="1" x14ac:dyDescent="0.35">
      <c r="B2" s="45" t="s">
        <v>51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</row>
    <row r="3" spans="2:15" x14ac:dyDescent="0.35">
      <c r="B3" s="7"/>
    </row>
    <row r="47" spans="2:15" ht="24" customHeight="1" x14ac:dyDescent="0.35">
      <c r="B47" s="46" t="s">
        <v>15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</row>
    <row r="73" spans="2:15" ht="24" customHeight="1" x14ac:dyDescent="0.35">
      <c r="B73" s="47" t="s">
        <v>16</v>
      </c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</row>
    <row r="113" spans="2:15" ht="24" customHeight="1" x14ac:dyDescent="0.35">
      <c r="B113" s="49" t="s">
        <v>53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</row>
    <row r="153" spans="2:15" ht="24" customHeight="1" x14ac:dyDescent="0.35">
      <c r="B153" s="48" t="s">
        <v>17</v>
      </c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</row>
    <row r="154" spans="2:15" s="6" customFormat="1" ht="7.05" customHeight="1" x14ac:dyDescent="0.35">
      <c r="B154" s="5"/>
      <c r="C154" s="5"/>
      <c r="D154" s="5"/>
      <c r="E154" s="5"/>
      <c r="F154" s="5"/>
      <c r="G154" s="5"/>
      <c r="H154" s="5"/>
      <c r="I154" s="5"/>
      <c r="J154" s="5"/>
      <c r="K154" s="5"/>
    </row>
    <row r="155" spans="2:15" ht="18" customHeight="1" x14ac:dyDescent="0.35">
      <c r="B155" s="43" t="s">
        <v>22</v>
      </c>
      <c r="C155" s="43"/>
      <c r="D155" s="43"/>
      <c r="E155" s="31" t="s">
        <v>52</v>
      </c>
      <c r="F155" s="31" t="s">
        <v>18</v>
      </c>
      <c r="G155" s="31" t="s">
        <v>11</v>
      </c>
      <c r="H155" s="31" t="s">
        <v>19</v>
      </c>
      <c r="I155" s="31" t="s">
        <v>0</v>
      </c>
      <c r="J155" s="31" t="s">
        <v>5</v>
      </c>
      <c r="K155" s="43" t="s">
        <v>20</v>
      </c>
      <c r="L155" s="43"/>
      <c r="M155" s="43"/>
      <c r="N155" s="43"/>
      <c r="O155" s="43"/>
    </row>
    <row r="156" spans="2:15" ht="18" customHeight="1" x14ac:dyDescent="0.35">
      <c r="B156" s="41" t="s">
        <v>54</v>
      </c>
      <c r="C156" s="41"/>
      <c r="D156" s="41"/>
      <c r="E156" s="28" t="s">
        <v>35</v>
      </c>
      <c r="F156" s="29"/>
      <c r="G156" s="30"/>
      <c r="H156" s="30"/>
      <c r="I156" s="30"/>
      <c r="J156" s="30"/>
      <c r="K156" s="40"/>
      <c r="L156" s="40"/>
      <c r="M156" s="40"/>
      <c r="N156" s="40"/>
      <c r="O156" s="40"/>
    </row>
    <row r="157" spans="2:15" ht="18" customHeight="1" x14ac:dyDescent="0.35">
      <c r="B157" s="42" t="s">
        <v>23</v>
      </c>
      <c r="C157" s="42"/>
      <c r="D157" s="42"/>
      <c r="E157" s="32" t="s">
        <v>36</v>
      </c>
      <c r="F157" s="33"/>
      <c r="G157" s="34"/>
      <c r="H157" s="34"/>
      <c r="I157" s="34"/>
      <c r="J157" s="34"/>
      <c r="K157" s="39"/>
      <c r="L157" s="39"/>
      <c r="M157" s="39"/>
      <c r="N157" s="39"/>
      <c r="O157" s="39"/>
    </row>
    <row r="158" spans="2:15" ht="18" customHeight="1" x14ac:dyDescent="0.35">
      <c r="B158" s="41" t="s">
        <v>24</v>
      </c>
      <c r="C158" s="41"/>
      <c r="D158" s="41"/>
      <c r="E158" s="28" t="s">
        <v>37</v>
      </c>
      <c r="F158" s="29"/>
      <c r="G158" s="30"/>
      <c r="H158" s="30"/>
      <c r="I158" s="30"/>
      <c r="J158" s="30"/>
      <c r="K158" s="40"/>
      <c r="L158" s="40"/>
      <c r="M158" s="40"/>
      <c r="N158" s="40"/>
      <c r="O158" s="40"/>
    </row>
    <row r="159" spans="2:15" ht="18" customHeight="1" x14ac:dyDescent="0.35">
      <c r="B159" s="42" t="s">
        <v>25</v>
      </c>
      <c r="C159" s="42"/>
      <c r="D159" s="42"/>
      <c r="E159" s="32" t="s">
        <v>38</v>
      </c>
      <c r="F159" s="33"/>
      <c r="G159" s="34"/>
      <c r="H159" s="34"/>
      <c r="I159" s="34"/>
      <c r="J159" s="34"/>
      <c r="K159" s="39"/>
      <c r="L159" s="39"/>
      <c r="M159" s="39"/>
      <c r="N159" s="39"/>
      <c r="O159" s="39"/>
    </row>
    <row r="160" spans="2:15" ht="18" customHeight="1" x14ac:dyDescent="0.35">
      <c r="B160" s="41" t="s">
        <v>26</v>
      </c>
      <c r="C160" s="41"/>
      <c r="D160" s="41"/>
      <c r="E160" s="28" t="s">
        <v>35</v>
      </c>
      <c r="F160" s="29"/>
      <c r="G160" s="30"/>
      <c r="H160" s="30"/>
      <c r="I160" s="30"/>
      <c r="J160" s="30"/>
      <c r="K160" s="40"/>
      <c r="L160" s="40"/>
      <c r="M160" s="40"/>
      <c r="N160" s="40"/>
      <c r="O160" s="40"/>
    </row>
    <row r="161" spans="2:15" ht="18" customHeight="1" x14ac:dyDescent="0.35">
      <c r="B161" s="42" t="s">
        <v>32</v>
      </c>
      <c r="C161" s="42"/>
      <c r="D161" s="42"/>
      <c r="E161" s="32" t="s">
        <v>36</v>
      </c>
      <c r="F161" s="33"/>
      <c r="G161" s="34"/>
      <c r="H161" s="34"/>
      <c r="I161" s="34"/>
      <c r="J161" s="34"/>
      <c r="K161" s="39"/>
      <c r="L161" s="39"/>
      <c r="M161" s="39"/>
      <c r="N161" s="39"/>
      <c r="O161" s="39"/>
    </row>
    <row r="162" spans="2:15" ht="18" customHeight="1" x14ac:dyDescent="0.35">
      <c r="B162" s="41" t="s">
        <v>27</v>
      </c>
      <c r="C162" s="41"/>
      <c r="D162" s="41"/>
      <c r="E162" s="28" t="s">
        <v>37</v>
      </c>
      <c r="F162" s="29"/>
      <c r="G162" s="30"/>
      <c r="H162" s="30"/>
      <c r="I162" s="30"/>
      <c r="J162" s="30"/>
      <c r="K162" s="40"/>
      <c r="L162" s="40"/>
      <c r="M162" s="40"/>
      <c r="N162" s="40"/>
      <c r="O162" s="40"/>
    </row>
    <row r="163" spans="2:15" ht="18" customHeight="1" x14ac:dyDescent="0.35">
      <c r="B163" s="42" t="s">
        <v>50</v>
      </c>
      <c r="C163" s="42"/>
      <c r="D163" s="42"/>
      <c r="E163" s="32" t="s">
        <v>38</v>
      </c>
      <c r="F163" s="33"/>
      <c r="G163" s="34"/>
      <c r="H163" s="34"/>
      <c r="I163" s="34"/>
      <c r="J163" s="34"/>
      <c r="K163" s="39"/>
      <c r="L163" s="39"/>
      <c r="M163" s="39"/>
      <c r="N163" s="39"/>
      <c r="O163" s="39"/>
    </row>
    <row r="164" spans="2:15" ht="18" customHeight="1" x14ac:dyDescent="0.35">
      <c r="B164" s="41" t="s">
        <v>28</v>
      </c>
      <c r="C164" s="41"/>
      <c r="D164" s="41"/>
      <c r="E164" s="28" t="s">
        <v>39</v>
      </c>
      <c r="F164" s="29"/>
      <c r="G164" s="30"/>
      <c r="H164" s="30"/>
      <c r="I164" s="30"/>
      <c r="J164" s="30"/>
      <c r="K164" s="40"/>
      <c r="L164" s="40"/>
      <c r="M164" s="40"/>
      <c r="N164" s="40"/>
      <c r="O164" s="40"/>
    </row>
    <row r="165" spans="2:15" ht="18" customHeight="1" x14ac:dyDescent="0.35">
      <c r="B165" s="42" t="s">
        <v>30</v>
      </c>
      <c r="C165" s="42"/>
      <c r="D165" s="42"/>
      <c r="E165" s="32" t="s">
        <v>40</v>
      </c>
      <c r="F165" s="33"/>
      <c r="G165" s="34"/>
      <c r="H165" s="34"/>
      <c r="I165" s="34"/>
      <c r="J165" s="34"/>
      <c r="K165" s="39"/>
      <c r="L165" s="39"/>
      <c r="M165" s="39"/>
      <c r="N165" s="39"/>
      <c r="O165" s="39"/>
    </row>
    <row r="166" spans="2:15" ht="18" customHeight="1" x14ac:dyDescent="0.35">
      <c r="B166" s="41" t="s">
        <v>29</v>
      </c>
      <c r="C166" s="41"/>
      <c r="D166" s="41"/>
      <c r="E166" s="28" t="s">
        <v>39</v>
      </c>
      <c r="F166" s="29"/>
      <c r="G166" s="30"/>
      <c r="H166" s="30"/>
      <c r="I166" s="30"/>
      <c r="J166" s="30"/>
      <c r="K166" s="40"/>
      <c r="L166" s="40"/>
      <c r="M166" s="40"/>
      <c r="N166" s="40"/>
      <c r="O166" s="40"/>
    </row>
    <row r="167" spans="2:15" ht="18" customHeight="1" x14ac:dyDescent="0.35">
      <c r="B167" s="42" t="s">
        <v>31</v>
      </c>
      <c r="C167" s="42"/>
      <c r="D167" s="42"/>
      <c r="E167" s="32" t="s">
        <v>40</v>
      </c>
      <c r="F167" s="33"/>
      <c r="G167" s="34"/>
      <c r="H167" s="34"/>
      <c r="I167" s="34"/>
      <c r="J167" s="34"/>
      <c r="K167" s="39"/>
      <c r="L167" s="39"/>
      <c r="M167" s="39"/>
      <c r="N167" s="39"/>
      <c r="O167" s="39"/>
    </row>
    <row r="168" spans="2:15" ht="18" customHeight="1" x14ac:dyDescent="0.35">
      <c r="B168" s="41" t="s">
        <v>33</v>
      </c>
      <c r="C168" s="41"/>
      <c r="D168" s="41"/>
      <c r="E168" s="28" t="s">
        <v>39</v>
      </c>
      <c r="F168" s="29"/>
      <c r="G168" s="30"/>
      <c r="H168" s="30"/>
      <c r="I168" s="30"/>
      <c r="J168" s="30"/>
      <c r="K168" s="40"/>
      <c r="L168" s="40"/>
      <c r="M168" s="40"/>
      <c r="N168" s="40"/>
      <c r="O168" s="40"/>
    </row>
    <row r="169" spans="2:15" ht="18" customHeight="1" x14ac:dyDescent="0.35">
      <c r="B169" s="42" t="s">
        <v>34</v>
      </c>
      <c r="C169" s="42"/>
      <c r="D169" s="42"/>
      <c r="E169" s="32" t="s">
        <v>35</v>
      </c>
      <c r="F169" s="33"/>
      <c r="G169" s="34"/>
      <c r="H169" s="34"/>
      <c r="I169" s="34"/>
      <c r="J169" s="34"/>
      <c r="K169" s="39"/>
      <c r="L169" s="39"/>
      <c r="M169" s="39"/>
      <c r="N169" s="39"/>
      <c r="O169" s="39"/>
    </row>
    <row r="172" spans="2:15" ht="49.95" customHeight="1" x14ac:dyDescent="0.35">
      <c r="E172" s="56" t="s">
        <v>57</v>
      </c>
      <c r="F172" s="56"/>
      <c r="G172" s="56"/>
      <c r="H172" s="56"/>
      <c r="I172" s="56"/>
      <c r="J172" s="56"/>
      <c r="K172" s="56"/>
      <c r="L172" s="56"/>
    </row>
  </sheetData>
  <mergeCells count="37">
    <mergeCell ref="B155:D155"/>
    <mergeCell ref="B1:J1"/>
    <mergeCell ref="B2:O2"/>
    <mergeCell ref="B47:O47"/>
    <mergeCell ref="B73:O73"/>
    <mergeCell ref="B153:O153"/>
    <mergeCell ref="B113:O113"/>
    <mergeCell ref="K155:O155"/>
    <mergeCell ref="B156:D156"/>
    <mergeCell ref="B157:D157"/>
    <mergeCell ref="B158:D158"/>
    <mergeCell ref="B159:D159"/>
    <mergeCell ref="B169:D169"/>
    <mergeCell ref="B165:D165"/>
    <mergeCell ref="B166:D166"/>
    <mergeCell ref="B167:D167"/>
    <mergeCell ref="B168:D168"/>
    <mergeCell ref="B160:D160"/>
    <mergeCell ref="B161:D161"/>
    <mergeCell ref="B162:D162"/>
    <mergeCell ref="B163:D163"/>
    <mergeCell ref="B164:D164"/>
    <mergeCell ref="K156:O156"/>
    <mergeCell ref="K157:O157"/>
    <mergeCell ref="K158:O158"/>
    <mergeCell ref="K159:O159"/>
    <mergeCell ref="K160:O160"/>
    <mergeCell ref="K161:O161"/>
    <mergeCell ref="K162:O162"/>
    <mergeCell ref="K163:O163"/>
    <mergeCell ref="K164:O164"/>
    <mergeCell ref="E172:L172"/>
    <mergeCell ref="K165:O165"/>
    <mergeCell ref="K166:O166"/>
    <mergeCell ref="K167:O167"/>
    <mergeCell ref="K168:O168"/>
    <mergeCell ref="K169:O169"/>
  </mergeCells>
  <hyperlinks>
    <hyperlink ref="E172:L172" r:id="rId1" display="CLICK HERE TO CREATE PROJECT MANAGEMENT DASHBOARD TEMPLATES IN SMARTSHEET"/>
  </hyperlinks>
  <pageMargins left="0.7" right="0.7" top="0.75" bottom="0.75" header="0.3" footer="0.3"/>
  <pageSetup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-0.499984740745262"/>
  </sheetPr>
  <dimension ref="A1:U77"/>
  <sheetViews>
    <sheetView showGridLines="0" topLeftCell="E2" workbookViewId="0">
      <selection activeCell="B1" sqref="B1:L1"/>
    </sheetView>
  </sheetViews>
  <sheetFormatPr defaultColWidth="10.796875" defaultRowHeight="16.2" x14ac:dyDescent="0.35"/>
  <cols>
    <col min="1" max="1" width="3" customWidth="1"/>
    <col min="2" max="2" width="27.296875" customWidth="1"/>
    <col min="3" max="11" width="13.19921875" customWidth="1"/>
    <col min="12" max="12" width="3" customWidth="1"/>
  </cols>
  <sheetData>
    <row r="1" spans="1:21" ht="39" customHeight="1" x14ac:dyDescent="0.35">
      <c r="B1" s="50" t="s">
        <v>49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8"/>
      <c r="N1" s="1"/>
      <c r="O1" s="1"/>
      <c r="P1" s="1"/>
      <c r="Q1" s="1"/>
      <c r="R1" s="1"/>
      <c r="S1" s="1"/>
      <c r="T1" s="1"/>
      <c r="U1" s="1"/>
    </row>
    <row r="2" spans="1:21" ht="36" customHeight="1" x14ac:dyDescent="0.35">
      <c r="A2" s="9"/>
      <c r="B2" s="51" t="s">
        <v>55</v>
      </c>
      <c r="C2" s="51"/>
      <c r="D2" s="51"/>
      <c r="E2" s="51"/>
      <c r="F2" s="51"/>
      <c r="G2" s="51"/>
      <c r="H2" s="7"/>
      <c r="I2" s="51" t="s">
        <v>46</v>
      </c>
      <c r="J2" s="51"/>
      <c r="K2" s="51"/>
      <c r="L2" s="9"/>
      <c r="M2" s="9"/>
      <c r="R2" s="1"/>
      <c r="S2" s="1"/>
      <c r="T2" s="1"/>
      <c r="U2" s="1"/>
    </row>
    <row r="3" spans="1:21" ht="18" customHeight="1" x14ac:dyDescent="0.35">
      <c r="A3" s="9"/>
      <c r="B3" s="35" t="s">
        <v>22</v>
      </c>
      <c r="C3" s="35" t="s">
        <v>52</v>
      </c>
      <c r="D3" s="35" t="s">
        <v>8</v>
      </c>
      <c r="E3" s="35" t="s">
        <v>9</v>
      </c>
      <c r="F3" s="35" t="s">
        <v>10</v>
      </c>
      <c r="G3" s="11" t="s">
        <v>41</v>
      </c>
      <c r="H3" s="9"/>
      <c r="I3" s="35" t="s">
        <v>41</v>
      </c>
      <c r="J3" s="35" t="s">
        <v>47</v>
      </c>
      <c r="K3" s="35" t="s">
        <v>48</v>
      </c>
      <c r="L3" s="9"/>
      <c r="M3" s="9"/>
      <c r="Q3" s="1"/>
      <c r="R3" s="1"/>
      <c r="S3" s="1"/>
      <c r="T3" s="1"/>
    </row>
    <row r="4" spans="1:21" ht="18" customHeight="1" x14ac:dyDescent="0.35">
      <c r="A4" s="9"/>
      <c r="B4" s="12" t="s">
        <v>54</v>
      </c>
      <c r="C4" s="12" t="s">
        <v>35</v>
      </c>
      <c r="D4" s="13">
        <v>43225</v>
      </c>
      <c r="E4" s="13">
        <v>43226</v>
      </c>
      <c r="F4" s="14">
        <f>E4-D4</f>
        <v>1</v>
      </c>
      <c r="G4" s="15" t="s">
        <v>42</v>
      </c>
      <c r="H4" s="9"/>
      <c r="I4" s="15" t="s">
        <v>42</v>
      </c>
      <c r="J4" s="19">
        <v>4</v>
      </c>
      <c r="K4" s="20">
        <f>J4/SUM(J4:J7)</f>
        <v>0.2857142857142857</v>
      </c>
      <c r="L4" s="9"/>
      <c r="M4" s="9"/>
      <c r="Q4" s="1"/>
      <c r="R4" s="1"/>
      <c r="S4" s="1"/>
      <c r="T4" s="1"/>
    </row>
    <row r="5" spans="1:21" ht="18" customHeight="1" x14ac:dyDescent="0.35">
      <c r="A5" s="9"/>
      <c r="B5" s="32" t="s">
        <v>23</v>
      </c>
      <c r="C5" s="32" t="s">
        <v>36</v>
      </c>
      <c r="D5" s="36">
        <v>43227</v>
      </c>
      <c r="E5" s="36">
        <v>43232</v>
      </c>
      <c r="F5" s="37">
        <f t="shared" ref="F5:F17" si="0">E5-D5</f>
        <v>5</v>
      </c>
      <c r="G5" s="15" t="s">
        <v>42</v>
      </c>
      <c r="H5" s="9"/>
      <c r="I5" s="16" t="s">
        <v>43</v>
      </c>
      <c r="J5" s="19">
        <v>2</v>
      </c>
      <c r="K5" s="20">
        <f>J5/SUM(J4:J7)</f>
        <v>0.14285714285714285</v>
      </c>
      <c r="L5" s="9"/>
      <c r="M5" s="9"/>
      <c r="Q5" s="1"/>
      <c r="R5" s="1"/>
      <c r="S5" s="1"/>
      <c r="T5" s="1"/>
    </row>
    <row r="6" spans="1:21" ht="18" customHeight="1" x14ac:dyDescent="0.35">
      <c r="A6" s="9"/>
      <c r="B6" s="12" t="s">
        <v>24</v>
      </c>
      <c r="C6" s="12" t="s">
        <v>37</v>
      </c>
      <c r="D6" s="13">
        <v>43233</v>
      </c>
      <c r="E6" s="13">
        <v>43240</v>
      </c>
      <c r="F6" s="14">
        <f t="shared" si="0"/>
        <v>7</v>
      </c>
      <c r="G6" s="15" t="s">
        <v>42</v>
      </c>
      <c r="H6" s="9"/>
      <c r="I6" s="17" t="s">
        <v>44</v>
      </c>
      <c r="J6" s="21">
        <v>2</v>
      </c>
      <c r="K6" s="22">
        <f>J6/SUM(J4:J7)</f>
        <v>0.14285714285714285</v>
      </c>
      <c r="L6" s="9"/>
      <c r="M6" s="9"/>
      <c r="Q6" s="1"/>
      <c r="R6" s="1"/>
      <c r="S6" s="1"/>
      <c r="T6" s="1"/>
    </row>
    <row r="7" spans="1:21" ht="18" customHeight="1" x14ac:dyDescent="0.35">
      <c r="A7" s="9"/>
      <c r="B7" s="32" t="s">
        <v>25</v>
      </c>
      <c r="C7" s="32" t="s">
        <v>38</v>
      </c>
      <c r="D7" s="36">
        <v>43237</v>
      </c>
      <c r="E7" s="36">
        <v>43242</v>
      </c>
      <c r="F7" s="37">
        <f t="shared" si="0"/>
        <v>5</v>
      </c>
      <c r="G7" s="15" t="s">
        <v>42</v>
      </c>
      <c r="H7" s="9"/>
      <c r="I7" s="18" t="s">
        <v>45</v>
      </c>
      <c r="J7" s="19">
        <v>6</v>
      </c>
      <c r="K7" s="20">
        <f>J7/SUM(J4:J7)</f>
        <v>0.42857142857142855</v>
      </c>
      <c r="L7" s="9"/>
      <c r="M7" s="9"/>
      <c r="Q7" s="1"/>
      <c r="R7" s="1"/>
      <c r="S7" s="1"/>
      <c r="T7" s="1"/>
    </row>
    <row r="8" spans="1:21" ht="18" customHeight="1" x14ac:dyDescent="0.35">
      <c r="A8" s="9"/>
      <c r="B8" s="12" t="s">
        <v>26</v>
      </c>
      <c r="C8" s="12" t="s">
        <v>35</v>
      </c>
      <c r="D8" s="13">
        <v>43243</v>
      </c>
      <c r="E8" s="13">
        <v>43247</v>
      </c>
      <c r="F8" s="14">
        <f t="shared" si="0"/>
        <v>4</v>
      </c>
      <c r="G8" s="16" t="s">
        <v>43</v>
      </c>
      <c r="H8" s="9"/>
      <c r="I8" s="9"/>
      <c r="J8" s="9"/>
      <c r="K8" s="10"/>
      <c r="L8" s="9"/>
      <c r="M8" s="9"/>
      <c r="Q8" s="1"/>
      <c r="R8" s="1"/>
      <c r="S8" s="1"/>
      <c r="T8" s="1"/>
    </row>
    <row r="9" spans="1:21" ht="18" customHeight="1" x14ac:dyDescent="0.35">
      <c r="A9" s="9"/>
      <c r="B9" s="32" t="s">
        <v>32</v>
      </c>
      <c r="C9" s="32" t="s">
        <v>36</v>
      </c>
      <c r="D9" s="36">
        <v>43255</v>
      </c>
      <c r="E9" s="36">
        <v>43256</v>
      </c>
      <c r="F9" s="37">
        <f t="shared" si="0"/>
        <v>1</v>
      </c>
      <c r="G9" s="16" t="s">
        <v>43</v>
      </c>
      <c r="H9" s="9"/>
      <c r="I9" s="9"/>
      <c r="J9" s="9"/>
      <c r="K9" s="9"/>
      <c r="L9" s="9"/>
      <c r="M9" s="9"/>
      <c r="Q9" s="1"/>
      <c r="R9" s="1"/>
      <c r="S9" s="1"/>
      <c r="T9" s="1"/>
    </row>
    <row r="10" spans="1:21" ht="18" customHeight="1" x14ac:dyDescent="0.35">
      <c r="A10" s="9"/>
      <c r="B10" s="12" t="s">
        <v>27</v>
      </c>
      <c r="C10" s="12" t="s">
        <v>37</v>
      </c>
      <c r="D10" s="13">
        <v>43252</v>
      </c>
      <c r="E10" s="13">
        <v>43256</v>
      </c>
      <c r="F10" s="14">
        <f t="shared" si="0"/>
        <v>4</v>
      </c>
      <c r="G10" s="17" t="s">
        <v>44</v>
      </c>
      <c r="H10" s="9"/>
      <c r="I10" s="51" t="s">
        <v>11</v>
      </c>
      <c r="J10" s="51"/>
      <c r="K10" s="51"/>
      <c r="L10" s="9"/>
      <c r="M10" s="9"/>
      <c r="Q10" s="1"/>
      <c r="R10" s="1"/>
      <c r="S10" s="1"/>
      <c r="T10" s="1"/>
    </row>
    <row r="11" spans="1:21" ht="18" customHeight="1" x14ac:dyDescent="0.35">
      <c r="A11" s="9"/>
      <c r="B11" s="32" t="s">
        <v>50</v>
      </c>
      <c r="C11" s="32" t="s">
        <v>38</v>
      </c>
      <c r="D11" s="36">
        <v>43257</v>
      </c>
      <c r="E11" s="36">
        <v>43278</v>
      </c>
      <c r="F11" s="37">
        <f t="shared" si="0"/>
        <v>21</v>
      </c>
      <c r="G11" s="17" t="s">
        <v>44</v>
      </c>
      <c r="H11" s="9"/>
      <c r="I11" s="51"/>
      <c r="J11" s="51"/>
      <c r="K11" s="51"/>
      <c r="L11" s="9"/>
      <c r="M11" s="9"/>
      <c r="Q11" s="1"/>
      <c r="R11" s="1"/>
      <c r="S11" s="1"/>
      <c r="T11" s="1"/>
    </row>
    <row r="12" spans="1:21" ht="18" customHeight="1" x14ac:dyDescent="0.35">
      <c r="A12" s="9"/>
      <c r="B12" s="12" t="s">
        <v>28</v>
      </c>
      <c r="C12" s="12" t="s">
        <v>39</v>
      </c>
      <c r="D12" s="13">
        <v>43279</v>
      </c>
      <c r="E12" s="13">
        <v>43280</v>
      </c>
      <c r="F12" s="14">
        <f t="shared" si="0"/>
        <v>1</v>
      </c>
      <c r="G12" s="18" t="s">
        <v>45</v>
      </c>
      <c r="H12" s="9"/>
      <c r="I12" s="35" t="s">
        <v>12</v>
      </c>
      <c r="J12" s="35" t="s">
        <v>13</v>
      </c>
      <c r="K12" s="35" t="s">
        <v>14</v>
      </c>
      <c r="L12" s="9"/>
      <c r="M12" s="9"/>
      <c r="Q12" s="1"/>
      <c r="R12" s="1"/>
      <c r="S12" s="1"/>
      <c r="T12" s="1"/>
    </row>
    <row r="13" spans="1:21" ht="18" customHeight="1" x14ac:dyDescent="0.35">
      <c r="A13" s="9"/>
      <c r="B13" s="32" t="s">
        <v>30</v>
      </c>
      <c r="C13" s="32" t="s">
        <v>40</v>
      </c>
      <c r="D13" s="36">
        <v>43280</v>
      </c>
      <c r="E13" s="36">
        <v>43296</v>
      </c>
      <c r="F13" s="37">
        <f t="shared" si="0"/>
        <v>16</v>
      </c>
      <c r="G13" s="18" t="s">
        <v>45</v>
      </c>
      <c r="H13" s="9"/>
      <c r="I13" s="23">
        <v>1000000</v>
      </c>
      <c r="J13" s="23">
        <v>880000</v>
      </c>
      <c r="K13" s="23">
        <f>(I13-J13)</f>
        <v>120000</v>
      </c>
      <c r="L13" s="9"/>
      <c r="M13" s="9"/>
      <c r="Q13" s="1"/>
      <c r="R13" s="1"/>
      <c r="S13" s="1"/>
      <c r="T13" s="1"/>
    </row>
    <row r="14" spans="1:21" ht="18" customHeight="1" x14ac:dyDescent="0.35">
      <c r="A14" s="9"/>
      <c r="B14" s="12" t="s">
        <v>29</v>
      </c>
      <c r="C14" s="12" t="s">
        <v>39</v>
      </c>
      <c r="D14" s="13">
        <v>43297</v>
      </c>
      <c r="E14" s="13">
        <v>43298</v>
      </c>
      <c r="F14" s="14">
        <f t="shared" si="0"/>
        <v>1</v>
      </c>
      <c r="G14" s="18" t="s">
        <v>45</v>
      </c>
      <c r="H14" s="9"/>
      <c r="I14" s="9"/>
      <c r="J14" s="9"/>
      <c r="K14" s="9"/>
      <c r="L14" s="9"/>
      <c r="M14" s="9"/>
      <c r="Q14" s="1"/>
      <c r="R14" s="1"/>
      <c r="S14" s="1"/>
      <c r="T14" s="1"/>
    </row>
    <row r="15" spans="1:21" ht="18" customHeight="1" x14ac:dyDescent="0.35">
      <c r="A15" s="9"/>
      <c r="B15" s="32" t="s">
        <v>31</v>
      </c>
      <c r="C15" s="32" t="s">
        <v>40</v>
      </c>
      <c r="D15" s="36">
        <v>43298</v>
      </c>
      <c r="E15" s="36">
        <v>43311</v>
      </c>
      <c r="F15" s="37">
        <f t="shared" si="0"/>
        <v>13</v>
      </c>
      <c r="G15" s="18" t="s">
        <v>45</v>
      </c>
      <c r="H15" s="9"/>
      <c r="I15" s="9"/>
      <c r="J15" s="9"/>
      <c r="K15" s="9"/>
      <c r="L15" s="9"/>
      <c r="M15" s="9"/>
      <c r="Q15" s="1"/>
      <c r="R15" s="1"/>
      <c r="S15" s="1"/>
      <c r="T15" s="1"/>
    </row>
    <row r="16" spans="1:21" ht="18" customHeight="1" x14ac:dyDescent="0.35">
      <c r="A16" s="9"/>
      <c r="B16" s="12" t="s">
        <v>33</v>
      </c>
      <c r="C16" s="12" t="s">
        <v>39</v>
      </c>
      <c r="D16" s="13">
        <v>43313</v>
      </c>
      <c r="E16" s="13">
        <v>43314</v>
      </c>
      <c r="F16" s="14">
        <f t="shared" si="0"/>
        <v>1</v>
      </c>
      <c r="G16" s="18" t="s">
        <v>45</v>
      </c>
      <c r="H16" s="9"/>
      <c r="I16" s="9"/>
      <c r="J16" s="9"/>
      <c r="K16" s="9"/>
      <c r="L16" s="9"/>
      <c r="M16" s="9"/>
      <c r="Q16" s="1"/>
      <c r="R16" s="1"/>
      <c r="S16" s="1"/>
      <c r="T16" s="1"/>
    </row>
    <row r="17" spans="1:21" ht="18" customHeight="1" x14ac:dyDescent="0.35">
      <c r="A17" s="9"/>
      <c r="B17" s="32" t="s">
        <v>34</v>
      </c>
      <c r="C17" s="32" t="s">
        <v>35</v>
      </c>
      <c r="D17" s="36">
        <v>43314</v>
      </c>
      <c r="E17" s="36">
        <v>43316</v>
      </c>
      <c r="F17" s="37">
        <f t="shared" si="0"/>
        <v>2</v>
      </c>
      <c r="G17" s="18" t="s">
        <v>45</v>
      </c>
      <c r="H17" s="9"/>
      <c r="I17" s="9"/>
      <c r="J17" s="9"/>
      <c r="K17" s="9"/>
      <c r="L17" s="9"/>
      <c r="M17" s="9"/>
      <c r="Q17" s="1"/>
      <c r="R17" s="1"/>
      <c r="S17" s="1"/>
      <c r="T17" s="1"/>
    </row>
    <row r="18" spans="1:21" ht="18" customHeight="1" x14ac:dyDescent="0.35">
      <c r="A18" s="9"/>
      <c r="B18" s="9"/>
      <c r="C18" s="8"/>
      <c r="D18" s="8"/>
      <c r="E18" s="8"/>
      <c r="F18" s="8"/>
      <c r="G18" s="8"/>
      <c r="H18" s="9"/>
      <c r="I18" s="9"/>
      <c r="J18" s="9"/>
      <c r="K18" s="9"/>
      <c r="L18" s="9"/>
      <c r="M18" s="9"/>
      <c r="R18" s="1"/>
      <c r="S18" s="1"/>
      <c r="T18" s="1"/>
      <c r="U18" s="1"/>
    </row>
    <row r="19" spans="1:21" ht="18" customHeight="1" x14ac:dyDescent="0.35">
      <c r="A19" s="9"/>
      <c r="B19" s="9"/>
      <c r="C19" s="8"/>
      <c r="D19" s="8"/>
      <c r="E19" s="8"/>
      <c r="F19" s="8"/>
      <c r="G19" s="8"/>
      <c r="H19" s="9"/>
      <c r="I19" s="9"/>
      <c r="J19" s="9"/>
      <c r="K19" s="9"/>
      <c r="L19" s="9"/>
      <c r="M19" s="9"/>
      <c r="R19" s="1"/>
      <c r="S19" s="1"/>
      <c r="T19" s="1"/>
      <c r="U19" s="1"/>
    </row>
    <row r="20" spans="1:21" ht="36" customHeight="1" x14ac:dyDescent="0.35">
      <c r="A20" s="9"/>
      <c r="B20" s="51" t="s">
        <v>56</v>
      </c>
      <c r="C20" s="51"/>
      <c r="D20" s="51"/>
      <c r="E20" s="51"/>
      <c r="F20" s="51"/>
      <c r="G20" s="51"/>
      <c r="H20" s="51"/>
      <c r="I20" s="9"/>
      <c r="J20" s="9"/>
      <c r="K20" s="9"/>
      <c r="L20" s="9"/>
      <c r="M20" s="9"/>
      <c r="R20" s="1"/>
      <c r="S20" s="1"/>
      <c r="T20" s="1"/>
      <c r="U20" s="1"/>
    </row>
    <row r="21" spans="1:21" ht="18" customHeight="1" x14ac:dyDescent="0.35">
      <c r="A21" s="8"/>
      <c r="B21" s="55" t="s">
        <v>22</v>
      </c>
      <c r="C21" s="52" t="s">
        <v>0</v>
      </c>
      <c r="D21" s="52"/>
      <c r="E21" s="52"/>
      <c r="F21" s="53" t="s">
        <v>4</v>
      </c>
      <c r="G21" s="53"/>
      <c r="H21" s="54" t="s">
        <v>7</v>
      </c>
      <c r="I21" s="8"/>
      <c r="J21" s="8"/>
      <c r="K21" s="8"/>
      <c r="L21" s="8"/>
      <c r="M21" s="8"/>
      <c r="N21" s="1"/>
      <c r="O21" s="1"/>
      <c r="P21" s="1"/>
    </row>
    <row r="22" spans="1:21" ht="18" customHeight="1" x14ac:dyDescent="0.35">
      <c r="A22" s="8"/>
      <c r="B22" s="55"/>
      <c r="C22" s="24" t="s">
        <v>1</v>
      </c>
      <c r="D22" s="24" t="s">
        <v>2</v>
      </c>
      <c r="E22" s="24" t="s">
        <v>3</v>
      </c>
      <c r="F22" s="25" t="s">
        <v>5</v>
      </c>
      <c r="G22" s="25" t="s">
        <v>6</v>
      </c>
      <c r="H22" s="54"/>
      <c r="I22" s="8"/>
      <c r="J22" s="8"/>
      <c r="K22" s="8"/>
      <c r="L22" s="8"/>
      <c r="M22" s="8"/>
      <c r="N22" s="1"/>
      <c r="O22" s="1"/>
      <c r="P22" s="1"/>
    </row>
    <row r="23" spans="1:21" ht="18" customHeight="1" x14ac:dyDescent="0.35">
      <c r="A23" s="8"/>
      <c r="B23" s="12" t="s">
        <v>54</v>
      </c>
      <c r="C23" s="19">
        <v>1</v>
      </c>
      <c r="D23" s="19">
        <v>0</v>
      </c>
      <c r="E23" s="19">
        <v>4</v>
      </c>
      <c r="F23" s="19">
        <v>2</v>
      </c>
      <c r="G23" s="19">
        <v>0</v>
      </c>
      <c r="H23" s="19">
        <v>4</v>
      </c>
      <c r="I23" s="8"/>
      <c r="J23" s="8"/>
      <c r="K23" s="8"/>
      <c r="L23" s="8"/>
      <c r="M23" s="8"/>
      <c r="N23" s="1"/>
      <c r="O23" s="1"/>
      <c r="P23" s="1"/>
    </row>
    <row r="24" spans="1:21" ht="18" customHeight="1" x14ac:dyDescent="0.35">
      <c r="A24" s="8"/>
      <c r="B24" s="32" t="s">
        <v>23</v>
      </c>
      <c r="C24" s="26">
        <v>2</v>
      </c>
      <c r="D24" s="26">
        <v>3</v>
      </c>
      <c r="E24" s="26">
        <v>5</v>
      </c>
      <c r="F24" s="38">
        <v>1</v>
      </c>
      <c r="G24" s="38">
        <v>2</v>
      </c>
      <c r="H24" s="27">
        <v>3</v>
      </c>
      <c r="I24" s="8"/>
      <c r="J24" s="8"/>
      <c r="K24" s="8"/>
      <c r="L24" s="8"/>
      <c r="M24" s="8"/>
      <c r="N24" s="1"/>
      <c r="O24" s="1"/>
      <c r="P24" s="1"/>
    </row>
    <row r="25" spans="1:21" ht="18" customHeight="1" x14ac:dyDescent="0.35">
      <c r="A25" s="8"/>
      <c r="B25" s="12" t="s">
        <v>24</v>
      </c>
      <c r="C25" s="19">
        <v>3</v>
      </c>
      <c r="D25" s="19">
        <v>4</v>
      </c>
      <c r="E25" s="19">
        <v>3</v>
      </c>
      <c r="F25" s="19">
        <v>2</v>
      </c>
      <c r="G25" s="19">
        <v>1</v>
      </c>
      <c r="H25" s="19">
        <v>2</v>
      </c>
      <c r="I25" s="8"/>
      <c r="J25" s="8"/>
      <c r="K25" s="8"/>
      <c r="L25" s="8"/>
      <c r="M25" s="8"/>
      <c r="N25" s="1"/>
      <c r="O25" s="1"/>
      <c r="P25" s="1"/>
    </row>
    <row r="26" spans="1:21" ht="18" customHeight="1" x14ac:dyDescent="0.35">
      <c r="A26" s="8"/>
      <c r="B26" s="32" t="s">
        <v>25</v>
      </c>
      <c r="C26" s="26">
        <v>5</v>
      </c>
      <c r="D26" s="26">
        <v>8</v>
      </c>
      <c r="E26" s="26">
        <v>1</v>
      </c>
      <c r="F26" s="38">
        <v>1</v>
      </c>
      <c r="G26" s="38">
        <v>0</v>
      </c>
      <c r="H26" s="27">
        <v>0</v>
      </c>
      <c r="I26" s="8"/>
      <c r="J26" s="8"/>
      <c r="K26" s="8"/>
      <c r="L26" s="8"/>
      <c r="M26" s="9"/>
    </row>
    <row r="27" spans="1:21" ht="18" customHeight="1" x14ac:dyDescent="0.35">
      <c r="A27" s="8"/>
      <c r="B27" s="12" t="s">
        <v>26</v>
      </c>
      <c r="C27" s="19">
        <v>8</v>
      </c>
      <c r="D27" s="19">
        <v>6</v>
      </c>
      <c r="E27" s="19">
        <v>4</v>
      </c>
      <c r="F27" s="19">
        <v>0</v>
      </c>
      <c r="G27" s="19">
        <v>3</v>
      </c>
      <c r="H27" s="19">
        <v>1</v>
      </c>
      <c r="I27" s="8"/>
      <c r="J27" s="8"/>
      <c r="K27" s="8"/>
      <c r="L27" s="8"/>
      <c r="M27" s="9"/>
    </row>
    <row r="28" spans="1:21" ht="18" customHeight="1" x14ac:dyDescent="0.35">
      <c r="A28" s="8"/>
      <c r="B28" s="32" t="s">
        <v>32</v>
      </c>
      <c r="C28" s="26">
        <v>5</v>
      </c>
      <c r="D28" s="26">
        <v>0</v>
      </c>
      <c r="E28" s="26">
        <v>0</v>
      </c>
      <c r="F28" s="38">
        <v>2</v>
      </c>
      <c r="G28" s="38">
        <v>0</v>
      </c>
      <c r="H28" s="27">
        <v>2</v>
      </c>
      <c r="I28" s="8"/>
      <c r="J28" s="8"/>
      <c r="K28" s="8"/>
      <c r="L28" s="8"/>
      <c r="M28" s="9"/>
    </row>
    <row r="29" spans="1:21" ht="18" customHeight="1" x14ac:dyDescent="0.35">
      <c r="A29" s="8"/>
      <c r="B29" s="12" t="s">
        <v>27</v>
      </c>
      <c r="C29" s="19">
        <v>6</v>
      </c>
      <c r="D29" s="19">
        <v>4</v>
      </c>
      <c r="E29" s="19">
        <v>0</v>
      </c>
      <c r="F29" s="19">
        <v>1</v>
      </c>
      <c r="G29" s="19">
        <v>2</v>
      </c>
      <c r="H29" s="19">
        <v>3</v>
      </c>
      <c r="I29" s="8"/>
      <c r="J29" s="8"/>
      <c r="K29" s="8"/>
      <c r="L29" s="8"/>
      <c r="M29" s="9"/>
    </row>
    <row r="30" spans="1:21" ht="18" customHeight="1" x14ac:dyDescent="0.35">
      <c r="A30" s="8"/>
      <c r="B30" s="32" t="s">
        <v>50</v>
      </c>
      <c r="C30" s="26">
        <v>7</v>
      </c>
      <c r="D30" s="26">
        <v>3</v>
      </c>
      <c r="E30" s="26">
        <v>3</v>
      </c>
      <c r="F30" s="38">
        <v>0</v>
      </c>
      <c r="G30" s="38">
        <v>1</v>
      </c>
      <c r="H30" s="27">
        <v>4</v>
      </c>
      <c r="I30" s="8"/>
      <c r="J30" s="8"/>
      <c r="K30" s="8"/>
      <c r="L30" s="8"/>
      <c r="M30" s="9"/>
    </row>
    <row r="31" spans="1:21" ht="18" customHeight="1" x14ac:dyDescent="0.35">
      <c r="A31" s="8"/>
      <c r="B31" s="12" t="s">
        <v>28</v>
      </c>
      <c r="C31" s="19">
        <v>0</v>
      </c>
      <c r="D31" s="19">
        <v>2</v>
      </c>
      <c r="E31" s="19">
        <v>4</v>
      </c>
      <c r="F31" s="19">
        <v>1</v>
      </c>
      <c r="G31" s="19">
        <v>3</v>
      </c>
      <c r="H31" s="19">
        <v>2</v>
      </c>
      <c r="I31" s="8"/>
      <c r="J31" s="8"/>
      <c r="K31" s="8"/>
      <c r="L31" s="8"/>
      <c r="M31" s="9"/>
    </row>
    <row r="32" spans="1:21" ht="18" customHeight="1" x14ac:dyDescent="0.35">
      <c r="A32" s="8"/>
      <c r="B32" s="32" t="s">
        <v>30</v>
      </c>
      <c r="C32" s="26">
        <v>4</v>
      </c>
      <c r="D32" s="26">
        <v>4</v>
      </c>
      <c r="E32" s="26">
        <v>5</v>
      </c>
      <c r="F32" s="38">
        <v>2</v>
      </c>
      <c r="G32" s="38">
        <v>0</v>
      </c>
      <c r="H32" s="27">
        <v>0</v>
      </c>
      <c r="I32" s="8"/>
      <c r="J32" s="8"/>
      <c r="K32" s="8"/>
      <c r="L32" s="8"/>
      <c r="M32" s="9"/>
    </row>
    <row r="33" spans="1:21" ht="18" customHeight="1" x14ac:dyDescent="0.35">
      <c r="A33" s="8"/>
      <c r="B33" s="12" t="s">
        <v>29</v>
      </c>
      <c r="C33" s="19">
        <v>3</v>
      </c>
      <c r="D33" s="19">
        <v>6</v>
      </c>
      <c r="E33" s="19">
        <v>4</v>
      </c>
      <c r="F33" s="19">
        <v>3</v>
      </c>
      <c r="G33" s="19">
        <v>2</v>
      </c>
      <c r="H33" s="19">
        <v>0</v>
      </c>
      <c r="I33" s="8"/>
      <c r="J33" s="8"/>
      <c r="K33" s="8"/>
      <c r="L33" s="8"/>
      <c r="M33" s="9"/>
    </row>
    <row r="34" spans="1:21" ht="18" customHeight="1" x14ac:dyDescent="0.35">
      <c r="A34" s="8"/>
      <c r="B34" s="32" t="s">
        <v>31</v>
      </c>
      <c r="C34" s="26">
        <v>2</v>
      </c>
      <c r="D34" s="26">
        <v>3</v>
      </c>
      <c r="E34" s="26">
        <v>6</v>
      </c>
      <c r="F34" s="38">
        <v>0</v>
      </c>
      <c r="G34" s="38">
        <v>1</v>
      </c>
      <c r="H34" s="27">
        <v>1</v>
      </c>
      <c r="I34" s="8"/>
      <c r="J34" s="8"/>
      <c r="K34" s="8"/>
      <c r="L34" s="8"/>
      <c r="M34" s="9"/>
    </row>
    <row r="35" spans="1:21" ht="18" customHeight="1" x14ac:dyDescent="0.35">
      <c r="A35" s="8"/>
      <c r="B35" s="12" t="s">
        <v>33</v>
      </c>
      <c r="C35" s="19">
        <v>1</v>
      </c>
      <c r="D35" s="19">
        <v>1</v>
      </c>
      <c r="E35" s="19">
        <v>7</v>
      </c>
      <c r="F35" s="19">
        <v>1</v>
      </c>
      <c r="G35" s="19">
        <v>0</v>
      </c>
      <c r="H35" s="19">
        <v>2</v>
      </c>
      <c r="I35" s="8"/>
      <c r="J35" s="8"/>
      <c r="K35" s="8"/>
      <c r="L35" s="8"/>
      <c r="M35" s="9"/>
    </row>
    <row r="36" spans="1:21" ht="18" customHeight="1" x14ac:dyDescent="0.35">
      <c r="A36" s="8"/>
      <c r="B36" s="32" t="s">
        <v>34</v>
      </c>
      <c r="C36" s="26">
        <v>5</v>
      </c>
      <c r="D36" s="26">
        <v>0</v>
      </c>
      <c r="E36" s="26">
        <v>2</v>
      </c>
      <c r="F36" s="38">
        <v>2</v>
      </c>
      <c r="G36" s="38">
        <v>1</v>
      </c>
      <c r="H36" s="27">
        <v>3</v>
      </c>
      <c r="I36" s="8"/>
      <c r="J36" s="8"/>
      <c r="K36" s="8"/>
      <c r="L36" s="8"/>
      <c r="M36" s="9"/>
    </row>
    <row r="37" spans="1:21" ht="18" customHeight="1" x14ac:dyDescent="0.35">
      <c r="A37" s="8"/>
      <c r="B37" s="9"/>
      <c r="C37" s="2">
        <f t="shared" ref="C37:H37" si="1">SUM(C23:C36)</f>
        <v>52</v>
      </c>
      <c r="D37" s="2">
        <f t="shared" si="1"/>
        <v>44</v>
      </c>
      <c r="E37" s="2">
        <f t="shared" si="1"/>
        <v>48</v>
      </c>
      <c r="F37" s="3">
        <f t="shared" si="1"/>
        <v>18</v>
      </c>
      <c r="G37" s="3">
        <f t="shared" si="1"/>
        <v>16</v>
      </c>
      <c r="H37" s="4">
        <f t="shared" si="1"/>
        <v>27</v>
      </c>
      <c r="I37" s="8"/>
      <c r="J37" s="8"/>
      <c r="K37" s="8"/>
      <c r="L37" s="8"/>
      <c r="M37" s="9"/>
    </row>
    <row r="38" spans="1:21" x14ac:dyDescent="0.35">
      <c r="A38" s="8"/>
      <c r="B38" s="9"/>
      <c r="C38" s="9"/>
      <c r="D38" s="9"/>
      <c r="E38" s="9"/>
      <c r="F38" s="9"/>
      <c r="G38" s="9"/>
      <c r="H38" s="8"/>
      <c r="I38" s="8"/>
      <c r="J38" s="8"/>
      <c r="K38" s="8"/>
      <c r="L38" s="8"/>
      <c r="M38" s="9"/>
    </row>
    <row r="39" spans="1:21" x14ac:dyDescent="0.35">
      <c r="A39" s="8"/>
      <c r="B39" s="9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1"/>
      <c r="O39" s="1"/>
      <c r="P39" s="1"/>
      <c r="Q39" s="1"/>
    </row>
    <row r="40" spans="1:21" x14ac:dyDescent="0.35">
      <c r="A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21" x14ac:dyDescent="0.35">
      <c r="A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21" x14ac:dyDescent="0.35">
      <c r="A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21" x14ac:dyDescent="0.35">
      <c r="A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21" x14ac:dyDescent="0.35">
      <c r="A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x14ac:dyDescent="0.35">
      <c r="A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x14ac:dyDescent="0.35">
      <c r="A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x14ac:dyDescent="0.35">
      <c r="A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x14ac:dyDescent="0.35">
      <c r="A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x14ac:dyDescent="0.35">
      <c r="A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x14ac:dyDescent="0.35">
      <c r="A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x14ac:dyDescent="0.35">
      <c r="A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x14ac:dyDescent="0.35">
      <c r="A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x14ac:dyDescent="0.35">
      <c r="A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x14ac:dyDescent="0.35">
      <c r="A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x14ac:dyDescent="0.35">
      <c r="A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x14ac:dyDescent="0.35">
      <c r="A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x14ac:dyDescent="0.35">
      <c r="A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x14ac:dyDescent="0.35">
      <c r="A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x14ac:dyDescent="0.35">
      <c r="A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x14ac:dyDescent="0.35">
      <c r="A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x14ac:dyDescent="0.35">
      <c r="A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x14ac:dyDescent="0.35">
      <c r="A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x14ac:dyDescent="0.35">
      <c r="A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x14ac:dyDescent="0.35">
      <c r="A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x14ac:dyDescent="0.35">
      <c r="A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x14ac:dyDescent="0.35">
      <c r="A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x14ac:dyDescent="0.35">
      <c r="A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x14ac:dyDescent="0.35">
      <c r="A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x14ac:dyDescent="0.3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x14ac:dyDescent="0.35">
      <c r="A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x14ac:dyDescent="0.35">
      <c r="A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x14ac:dyDescent="0.35">
      <c r="A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x14ac:dyDescent="0.35">
      <c r="A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x14ac:dyDescent="0.3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x14ac:dyDescent="0.3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x14ac:dyDescent="0.35">
      <c r="A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x14ac:dyDescent="0.35">
      <c r="A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</sheetData>
  <mergeCells count="9">
    <mergeCell ref="B1:L1"/>
    <mergeCell ref="I2:K2"/>
    <mergeCell ref="I10:K11"/>
    <mergeCell ref="B20:H20"/>
    <mergeCell ref="C21:E21"/>
    <mergeCell ref="F21:G21"/>
    <mergeCell ref="H21:H22"/>
    <mergeCell ref="B21:B22"/>
    <mergeCell ref="B2:G2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Project Management Dashboard</vt:lpstr>
      <vt:lpstr>Project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Sankiewicz</dc:creator>
  <cp:lastModifiedBy>Mariana Sankiewicz</cp:lastModifiedBy>
  <dcterms:created xsi:type="dcterms:W3CDTF">2016-03-21T16:06:55Z</dcterms:created>
  <dcterms:modified xsi:type="dcterms:W3CDTF">2017-03-27T20:34:50Z</dcterms:modified>
</cp:coreProperties>
</file>